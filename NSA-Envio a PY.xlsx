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vazquez\OneDrive - Prisma Medios de Pago\Escritorio\"/>
    </mc:Choice>
  </mc:AlternateContent>
  <xr:revisionPtr revIDLastSave="0" documentId="13_ncr:1_{75005052-CCC6-4B43-8852-A82FA4D1256A}" xr6:coauthVersionLast="47" xr6:coauthVersionMax="47" xr10:uidLastSave="{00000000-0000-0000-0000-000000000000}"/>
  <bookViews>
    <workbookView xWindow="-110" yWindow="-110" windowWidth="19420" windowHeight="10420" tabRatio="902" activeTab="1" xr2:uid="{1EDA2A90-1C8F-48FD-9937-2B6261F2AF8F}"/>
  </bookViews>
  <sheets>
    <sheet name="ENVIO(CALCULOS)" sheetId="16" r:id="rId1"/>
    <sheet name="ENVIO(CALCULOS) ORIGINAL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7" l="1"/>
  <c r="F10" i="17" s="1"/>
  <c r="F8" i="17"/>
  <c r="G4" i="17"/>
  <c r="D4" i="17" s="1"/>
  <c r="F9" i="16"/>
  <c r="F10" i="16" s="1"/>
  <c r="F8" i="16"/>
  <c r="G4" i="16"/>
  <c r="D4" i="16"/>
  <c r="F11" i="17" l="1"/>
  <c r="F13" i="17" s="1"/>
  <c r="F11" i="16"/>
  <c r="F13" i="16" s="1"/>
</calcChain>
</file>

<file path=xl/sharedStrings.xml><?xml version="1.0" encoding="utf-8"?>
<sst xmlns="http://schemas.openxmlformats.org/spreadsheetml/2006/main" count="56" uniqueCount="22">
  <si>
    <t>Monto a enviar</t>
  </si>
  <si>
    <t>ARS</t>
  </si>
  <si>
    <t>Recibe monto aprox.</t>
  </si>
  <si>
    <t>PYG</t>
  </si>
  <si>
    <t>Detalles de la transferencia</t>
  </si>
  <si>
    <t>Monto de envío</t>
  </si>
  <si>
    <t>Monto aprox. a recibir</t>
  </si>
  <si>
    <t>Costo de servicio</t>
  </si>
  <si>
    <t>Impuesto</t>
  </si>
  <si>
    <t>Costo total + impuesto</t>
  </si>
  <si>
    <t>Tasa de cambio</t>
  </si>
  <si>
    <t>Total a depositar</t>
  </si>
  <si>
    <t>5% del Monto de envío</t>
  </si>
  <si>
    <t>21% de Costo de servicio</t>
  </si>
  <si>
    <t>Pagina de WesterUnion</t>
  </si>
  <si>
    <t>Monto de envío + Costo total + impuesto</t>
  </si>
  <si>
    <t>Monto de envío * Tasa de cambio</t>
  </si>
  <si>
    <t>URL WesterUnion</t>
  </si>
  <si>
    <t>https://www.westernunion.com/ar/en/home.html</t>
  </si>
  <si>
    <t>Cotización Wester Union</t>
  </si>
  <si>
    <r>
      <t>FX: </t>
    </r>
    <r>
      <rPr>
        <sz val="10"/>
        <color rgb="FF000000"/>
        <rFont val="Aptos"/>
        <family val="2"/>
      </rPr>
      <t>1.00 ARS – 6.7517 PYG</t>
    </r>
  </si>
  <si>
    <r>
      <t>FX: </t>
    </r>
    <r>
      <rPr>
        <sz val="10"/>
        <color rgb="FF000000"/>
        <rFont val="Aptos"/>
        <family val="2"/>
      </rPr>
      <t>1.00 ARS – 6.2806 PYG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</si>
</sst>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Roboto"/>
    </font>
    <font>
      <u/>
      <sz val="11"/>
      <color theme="10"/>
      <name val="Calibri"/>
      <family val="2"/>
      <scheme val="minor"/>
    </font>
    <font>
      <sz val="10"/>
      <color rgb="FF212529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Protection="1">
      <protection locked="0"/>
    </xf>
    <xf numFmtId="3" fontId="2" fillId="0" borderId="0" xfId="0" applyNumberFormat="1" applyFont="1" applyProtection="1">
      <protection locked="0"/>
    </xf>
    <xf numFmtId="0" fontId="1" fillId="4" borderId="0" xfId="0" applyFont="1" applyFill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5" fontId="2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0" fontId="0" fillId="0" borderId="3" xfId="0" applyBorder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1" applyProtection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3" fontId="6" fillId="0" borderId="0" xfId="0" applyNumberFormat="1" applyFont="1" applyProtection="1"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3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64" fontId="0" fillId="5" borderId="3" xfId="0" applyNumberFormat="1" applyFill="1" applyBorder="1" applyAlignment="1" applyProtection="1">
      <alignment horizontal="left"/>
      <protection locked="0"/>
    </xf>
    <xf numFmtId="164" fontId="0" fillId="5" borderId="4" xfId="0" applyNumberFormat="1" applyFill="1" applyBorder="1" applyAlignment="1" applyProtection="1">
      <alignment horizontal="left"/>
      <protection locked="0"/>
    </xf>
    <xf numFmtId="2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4" xfId="0" applyNumberForma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esternunion.com/ar/en/home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esternunion.com/ar/en/ho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9503-EA0A-42ED-945E-C56E078DB25E}">
  <dimension ref="A2:L18"/>
  <sheetViews>
    <sheetView showGridLines="0" workbookViewId="0">
      <selection activeCell="F12" sqref="F12:G12"/>
    </sheetView>
  </sheetViews>
  <sheetFormatPr baseColWidth="10" defaultRowHeight="14.5" x14ac:dyDescent="0.35"/>
  <cols>
    <col min="1" max="1" width="10.90625" style="1"/>
    <col min="2" max="2" width="15.453125" style="1" bestFit="1" customWidth="1"/>
    <col min="3" max="4" width="10.90625" style="1"/>
    <col min="5" max="5" width="4.08984375" style="1" bestFit="1" customWidth="1"/>
    <col min="6" max="7" width="10.90625" style="1"/>
    <col min="8" max="8" width="35" style="1" bestFit="1" customWidth="1"/>
    <col min="9" max="9" width="21.453125" style="1" bestFit="1" customWidth="1"/>
    <col min="10" max="16384" width="10.90625" style="1"/>
  </cols>
  <sheetData>
    <row r="2" spans="1:12" x14ac:dyDescent="0.35">
      <c r="I2" s="2"/>
      <c r="K2" s="22"/>
      <c r="L2" s="23"/>
    </row>
    <row r="3" spans="1:12" x14ac:dyDescent="0.35">
      <c r="A3"/>
      <c r="B3"/>
      <c r="C3" t="s">
        <v>0</v>
      </c>
      <c r="D3"/>
      <c r="E3"/>
      <c r="F3" t="s">
        <v>2</v>
      </c>
      <c r="G3"/>
      <c r="H3"/>
      <c r="I3" s="3" t="s">
        <v>19</v>
      </c>
      <c r="K3" s="4"/>
    </row>
    <row r="4" spans="1:12" x14ac:dyDescent="0.35">
      <c r="A4"/>
      <c r="B4"/>
      <c r="C4" s="18" t="s">
        <v>1</v>
      </c>
      <c r="D4" s="19">
        <f>G4/F12</f>
        <v>200000</v>
      </c>
      <c r="E4"/>
      <c r="F4" s="18" t="s">
        <v>3</v>
      </c>
      <c r="G4" s="20">
        <f>F7*F12</f>
        <v>1350340</v>
      </c>
      <c r="H4"/>
      <c r="I4" s="5" t="s">
        <v>20</v>
      </c>
    </row>
    <row r="5" spans="1:12" x14ac:dyDescent="0.35">
      <c r="A5"/>
      <c r="B5"/>
      <c r="C5"/>
      <c r="D5"/>
      <c r="E5"/>
      <c r="F5"/>
      <c r="G5"/>
      <c r="H5"/>
      <c r="I5" s="6"/>
    </row>
    <row r="6" spans="1:12" x14ac:dyDescent="0.35">
      <c r="A6"/>
      <c r="B6"/>
      <c r="C6" s="24" t="s">
        <v>4</v>
      </c>
      <c r="D6" s="24"/>
      <c r="E6" s="24"/>
      <c r="F6" s="24"/>
      <c r="G6" s="24"/>
      <c r="H6" s="17"/>
    </row>
    <row r="7" spans="1:12" x14ac:dyDescent="0.35">
      <c r="A7"/>
      <c r="B7"/>
      <c r="C7" s="25" t="s">
        <v>5</v>
      </c>
      <c r="D7" s="26"/>
      <c r="E7" s="11" t="s">
        <v>1</v>
      </c>
      <c r="F7" s="27">
        <v>200000</v>
      </c>
      <c r="G7" s="28"/>
      <c r="H7" s="17"/>
      <c r="K7" s="8"/>
    </row>
    <row r="8" spans="1:12" x14ac:dyDescent="0.35">
      <c r="A8"/>
      <c r="B8"/>
      <c r="C8" s="25" t="s">
        <v>6</v>
      </c>
      <c r="D8" s="26"/>
      <c r="E8" s="11" t="s">
        <v>3</v>
      </c>
      <c r="F8" s="29">
        <f>F7*F12</f>
        <v>1350340</v>
      </c>
      <c r="G8" s="30"/>
      <c r="H8" s="12" t="s">
        <v>16</v>
      </c>
    </row>
    <row r="9" spans="1:12" x14ac:dyDescent="0.35">
      <c r="A9"/>
      <c r="B9"/>
      <c r="C9" s="25" t="s">
        <v>7</v>
      </c>
      <c r="D9" s="26"/>
      <c r="E9" s="11" t="s">
        <v>1</v>
      </c>
      <c r="F9" s="26">
        <f>F7*5%</f>
        <v>10000</v>
      </c>
      <c r="G9" s="34"/>
      <c r="H9" s="15" t="s">
        <v>12</v>
      </c>
    </row>
    <row r="10" spans="1:12" x14ac:dyDescent="0.35">
      <c r="A10"/>
      <c r="B10"/>
      <c r="C10" s="25" t="s">
        <v>8</v>
      </c>
      <c r="D10" s="26"/>
      <c r="E10" s="11" t="s">
        <v>1</v>
      </c>
      <c r="F10" s="33">
        <f>F9*21%</f>
        <v>2100</v>
      </c>
      <c r="G10" s="35"/>
      <c r="H10" s="12" t="s">
        <v>13</v>
      </c>
      <c r="I10" s="9"/>
    </row>
    <row r="11" spans="1:12" x14ac:dyDescent="0.35">
      <c r="A11"/>
      <c r="B11"/>
      <c r="C11" s="25" t="s">
        <v>9</v>
      </c>
      <c r="D11" s="26"/>
      <c r="E11" s="11" t="s">
        <v>1</v>
      </c>
      <c r="F11" s="33">
        <f>F9+F10</f>
        <v>12100</v>
      </c>
      <c r="G11" s="34"/>
      <c r="H11" s="16"/>
      <c r="I11" s="9"/>
    </row>
    <row r="12" spans="1:12" x14ac:dyDescent="0.35">
      <c r="A12"/>
      <c r="B12"/>
      <c r="C12" s="25" t="s">
        <v>10</v>
      </c>
      <c r="D12" s="26"/>
      <c r="E12" s="11" t="s">
        <v>3</v>
      </c>
      <c r="F12" s="31">
        <v>6.7516999999999996</v>
      </c>
      <c r="G12" s="32"/>
      <c r="H12" s="12" t="s">
        <v>14</v>
      </c>
    </row>
    <row r="13" spans="1:12" x14ac:dyDescent="0.35">
      <c r="A13"/>
      <c r="B13"/>
      <c r="C13" s="25" t="s">
        <v>11</v>
      </c>
      <c r="D13" s="26"/>
      <c r="E13" s="11" t="s">
        <v>1</v>
      </c>
      <c r="F13" s="33">
        <f>F7+F11</f>
        <v>212100</v>
      </c>
      <c r="G13" s="34"/>
      <c r="H13" s="12" t="s">
        <v>15</v>
      </c>
      <c r="I13" s="9"/>
    </row>
    <row r="14" spans="1:12" x14ac:dyDescent="0.35">
      <c r="A14"/>
      <c r="B14"/>
      <c r="C14"/>
      <c r="D14"/>
      <c r="E14"/>
      <c r="F14"/>
      <c r="G14"/>
      <c r="H14"/>
    </row>
    <row r="15" spans="1:12" x14ac:dyDescent="0.35">
      <c r="A15"/>
      <c r="B15" s="13" t="s">
        <v>17</v>
      </c>
      <c r="C15" s="14" t="s">
        <v>18</v>
      </c>
      <c r="D15"/>
      <c r="E15"/>
      <c r="F15"/>
      <c r="G15"/>
      <c r="H15"/>
    </row>
    <row r="17" spans="3:10" x14ac:dyDescent="0.35">
      <c r="C17" s="7"/>
      <c r="I17" s="7"/>
      <c r="J17" s="7"/>
    </row>
    <row r="18" spans="3:10" x14ac:dyDescent="0.35">
      <c r="C18" s="7"/>
      <c r="H18" s="10"/>
    </row>
  </sheetData>
  <sheetProtection algorithmName="SHA-512" hashValue="LCHFcrJdWY+LNZRHB81h4fDd3zn7ivNd2/1tg4znrErTL37OpXCaaiO2wIemAH+zI1selRHgC3JtFNrYvWVXzw==" saltValue="ET48WMUV501MAkfx+OydSQ==" spinCount="100000" sheet="1" objects="1" scenarios="1"/>
  <mergeCells count="16">
    <mergeCell ref="C12:D12"/>
    <mergeCell ref="F12:G12"/>
    <mergeCell ref="C13:D13"/>
    <mergeCell ref="F13:G13"/>
    <mergeCell ref="C9:D9"/>
    <mergeCell ref="F9:G9"/>
    <mergeCell ref="C10:D10"/>
    <mergeCell ref="F10:G10"/>
    <mergeCell ref="C11:D11"/>
    <mergeCell ref="F11:G11"/>
    <mergeCell ref="K2:L2"/>
    <mergeCell ref="C6:G6"/>
    <mergeCell ref="C7:D7"/>
    <mergeCell ref="F7:G7"/>
    <mergeCell ref="C8:D8"/>
    <mergeCell ref="F8:G8"/>
  </mergeCells>
  <hyperlinks>
    <hyperlink ref="C15" r:id="rId1" xr:uid="{E14DFDA3-A786-47E6-A7AC-350854C0F47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448E-FDF0-4B01-B6BB-27F353E00BFB}">
  <dimension ref="A2:L18"/>
  <sheetViews>
    <sheetView showGridLines="0" tabSelected="1" workbookViewId="0">
      <selection activeCell="F13" sqref="F13:G13"/>
    </sheetView>
  </sheetViews>
  <sheetFormatPr baseColWidth="10" defaultRowHeight="14.5" x14ac:dyDescent="0.35"/>
  <cols>
    <col min="1" max="1" width="10.90625" style="1"/>
    <col min="2" max="2" width="15.453125" style="1" bestFit="1" customWidth="1"/>
    <col min="3" max="4" width="10.90625" style="1"/>
    <col min="5" max="5" width="4.08984375" style="1" bestFit="1" customWidth="1"/>
    <col min="6" max="7" width="10.90625" style="1"/>
    <col min="8" max="8" width="35" style="1" bestFit="1" customWidth="1"/>
    <col min="9" max="9" width="21.453125" style="1" bestFit="1" customWidth="1"/>
    <col min="10" max="16384" width="10.90625" style="1"/>
  </cols>
  <sheetData>
    <row r="2" spans="1:12" x14ac:dyDescent="0.35">
      <c r="I2" s="2"/>
      <c r="K2" s="22"/>
      <c r="L2" s="23"/>
    </row>
    <row r="3" spans="1:12" x14ac:dyDescent="0.35">
      <c r="A3"/>
      <c r="B3"/>
      <c r="C3" t="s">
        <v>0</v>
      </c>
      <c r="D3"/>
      <c r="E3"/>
      <c r="F3" t="s">
        <v>2</v>
      </c>
      <c r="G3"/>
      <c r="H3"/>
      <c r="I3" s="3" t="s">
        <v>19</v>
      </c>
      <c r="K3" s="4"/>
    </row>
    <row r="4" spans="1:12" x14ac:dyDescent="0.35">
      <c r="A4"/>
      <c r="B4"/>
      <c r="C4" s="18" t="s">
        <v>1</v>
      </c>
      <c r="D4" s="19">
        <f>G4/F12</f>
        <v>200000</v>
      </c>
      <c r="E4"/>
      <c r="F4" s="18" t="s">
        <v>3</v>
      </c>
      <c r="G4" s="20">
        <f>F7*F12</f>
        <v>1352480</v>
      </c>
      <c r="H4"/>
      <c r="I4" s="5" t="s">
        <v>21</v>
      </c>
    </row>
    <row r="5" spans="1:12" x14ac:dyDescent="0.35">
      <c r="A5"/>
      <c r="B5"/>
      <c r="C5"/>
      <c r="D5"/>
      <c r="E5"/>
      <c r="F5"/>
      <c r="G5"/>
      <c r="H5"/>
      <c r="I5" s="6"/>
    </row>
    <row r="6" spans="1:12" x14ac:dyDescent="0.35">
      <c r="A6"/>
      <c r="B6"/>
      <c r="C6" s="24" t="s">
        <v>4</v>
      </c>
      <c r="D6" s="24"/>
      <c r="E6" s="24"/>
      <c r="F6" s="24"/>
      <c r="G6" s="24"/>
      <c r="H6" s="17"/>
      <c r="I6" s="21">
        <v>5.8708</v>
      </c>
    </row>
    <row r="7" spans="1:12" x14ac:dyDescent="0.35">
      <c r="A7"/>
      <c r="B7"/>
      <c r="C7" s="25" t="s">
        <v>5</v>
      </c>
      <c r="D7" s="26"/>
      <c r="E7" s="11" t="s">
        <v>1</v>
      </c>
      <c r="F7" s="27">
        <v>200000</v>
      </c>
      <c r="G7" s="28"/>
      <c r="H7" s="17"/>
      <c r="K7" s="8"/>
    </row>
    <row r="8" spans="1:12" x14ac:dyDescent="0.35">
      <c r="A8"/>
      <c r="B8"/>
      <c r="C8" s="25" t="s">
        <v>6</v>
      </c>
      <c r="D8" s="26"/>
      <c r="E8" s="11" t="s">
        <v>3</v>
      </c>
      <c r="F8" s="29">
        <f>F7*F12</f>
        <v>1352480</v>
      </c>
      <c r="G8" s="30"/>
      <c r="H8" s="12" t="s">
        <v>16</v>
      </c>
    </row>
    <row r="9" spans="1:12" x14ac:dyDescent="0.35">
      <c r="A9"/>
      <c r="B9"/>
      <c r="C9" s="25" t="s">
        <v>7</v>
      </c>
      <c r="D9" s="26"/>
      <c r="E9" s="11" t="s">
        <v>1</v>
      </c>
      <c r="F9" s="26">
        <f>F7*5%</f>
        <v>10000</v>
      </c>
      <c r="G9" s="34"/>
      <c r="H9" s="15" t="s">
        <v>12</v>
      </c>
    </row>
    <row r="10" spans="1:12" x14ac:dyDescent="0.35">
      <c r="A10"/>
      <c r="B10"/>
      <c r="C10" s="25" t="s">
        <v>8</v>
      </c>
      <c r="D10" s="26"/>
      <c r="E10" s="11" t="s">
        <v>1</v>
      </c>
      <c r="F10" s="33">
        <f>F9*21%</f>
        <v>2100</v>
      </c>
      <c r="G10" s="35"/>
      <c r="H10" s="12" t="s">
        <v>13</v>
      </c>
      <c r="I10" s="9"/>
    </row>
    <row r="11" spans="1:12" x14ac:dyDescent="0.35">
      <c r="A11"/>
      <c r="B11"/>
      <c r="C11" s="25" t="s">
        <v>9</v>
      </c>
      <c r="D11" s="26"/>
      <c r="E11" s="11" t="s">
        <v>1</v>
      </c>
      <c r="F11" s="33">
        <f>F9+F10</f>
        <v>12100</v>
      </c>
      <c r="G11" s="34"/>
      <c r="H11" s="16"/>
      <c r="I11" s="9"/>
    </row>
    <row r="12" spans="1:12" x14ac:dyDescent="0.35">
      <c r="A12"/>
      <c r="B12"/>
      <c r="C12" s="25" t="s">
        <v>10</v>
      </c>
      <c r="D12" s="26"/>
      <c r="E12" s="11" t="s">
        <v>3</v>
      </c>
      <c r="F12" s="31">
        <v>6.7624000000000004</v>
      </c>
      <c r="G12" s="32"/>
      <c r="H12" s="12" t="s">
        <v>14</v>
      </c>
    </row>
    <row r="13" spans="1:12" x14ac:dyDescent="0.35">
      <c r="A13"/>
      <c r="B13"/>
      <c r="C13" s="25" t="s">
        <v>11</v>
      </c>
      <c r="D13" s="26"/>
      <c r="E13" s="11" t="s">
        <v>1</v>
      </c>
      <c r="F13" s="33">
        <f>F7+F11</f>
        <v>212100</v>
      </c>
      <c r="G13" s="34"/>
      <c r="H13" s="12" t="s">
        <v>15</v>
      </c>
      <c r="I13" s="9"/>
    </row>
    <row r="14" spans="1:12" x14ac:dyDescent="0.35">
      <c r="A14"/>
      <c r="B14"/>
      <c r="C14"/>
      <c r="D14"/>
      <c r="E14"/>
      <c r="F14"/>
      <c r="G14"/>
      <c r="H14"/>
    </row>
    <row r="15" spans="1:12" x14ac:dyDescent="0.35">
      <c r="A15"/>
      <c r="B15" s="13" t="s">
        <v>17</v>
      </c>
      <c r="C15" s="14" t="s">
        <v>18</v>
      </c>
      <c r="D15"/>
      <c r="E15"/>
      <c r="F15"/>
      <c r="G15"/>
      <c r="H15"/>
    </row>
    <row r="17" spans="3:10" x14ac:dyDescent="0.35">
      <c r="C17" s="7"/>
      <c r="I17" s="7"/>
      <c r="J17" s="7"/>
    </row>
    <row r="18" spans="3:10" x14ac:dyDescent="0.35">
      <c r="C18" s="7"/>
      <c r="H18" s="10"/>
    </row>
  </sheetData>
  <sheetProtection algorithmName="SHA-512" hashValue="LCHFcrJdWY+LNZRHB81h4fDd3zn7ivNd2/1tg4znrErTL37OpXCaaiO2wIemAH+zI1selRHgC3JtFNrYvWVXzw==" saltValue="ET48WMUV501MAkfx+OydSQ==" spinCount="100000" sheet="1" objects="1" scenarios="1"/>
  <mergeCells count="16">
    <mergeCell ref="C12:D12"/>
    <mergeCell ref="F12:G12"/>
    <mergeCell ref="C13:D13"/>
    <mergeCell ref="F13:G13"/>
    <mergeCell ref="C9:D9"/>
    <mergeCell ref="F9:G9"/>
    <mergeCell ref="C10:D10"/>
    <mergeCell ref="F10:G10"/>
    <mergeCell ref="C11:D11"/>
    <mergeCell ref="F11:G11"/>
    <mergeCell ref="K2:L2"/>
    <mergeCell ref="C6:G6"/>
    <mergeCell ref="C7:D7"/>
    <mergeCell ref="F7:G7"/>
    <mergeCell ref="C8:D8"/>
    <mergeCell ref="F8:G8"/>
  </mergeCells>
  <hyperlinks>
    <hyperlink ref="C15" r:id="rId1" xr:uid="{29032760-4A79-4EF8-8B2B-E7C4DDA34E1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ENVIO(CALCULOS)</vt:lpstr>
      <vt:lpstr>ENVIO(CALCULOS) ORIGINAL</vt:lpstr>
    </vt:vector>
  </TitlesOfParts>
  <Company>Prisma Medios de Pago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Alejandro Vazquez</dc:creator>
  <cp:lastModifiedBy>Julio Alejandro Vazquez</cp:lastModifiedBy>
  <dcterms:created xsi:type="dcterms:W3CDTF">2024-07-14T01:11:34Z</dcterms:created>
  <dcterms:modified xsi:type="dcterms:W3CDTF">2025-04-29T16:41:52Z</dcterms:modified>
</cp:coreProperties>
</file>